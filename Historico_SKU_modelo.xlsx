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stórico SKU" sheetId="1" state="visible" r:id="rId3"/>
    <sheet name="Leia-me" sheetId="2" state="visible" r:id="rId4"/>
  </sheets>
  <definedNames>
    <definedName function="false" hidden="true" localSheetId="0" name="_xlnm._FilterDatabase" vbProcedure="false">'Histórico SKU'!$A$2:$BZ$62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<sst xmlns="http://schemas.openxmlformats.org/spreadsheetml/2006/main" count="107" uniqueCount="105">
  <si>
    <t xml:space="preserve">IDENTIFICAÇÃO</t>
  </si>
  <si>
    <t xml:space="preserve">SELL-OUT — mês a mês (3 anos)</t>
  </si>
  <si>
    <t xml:space="preserve">SELL-IN — mês a mês (3 anos)</t>
  </si>
  <si>
    <t xml:space="preserve">TARGET 2026 &amp; YTGO</t>
  </si>
  <si>
    <t xml:space="preserve">Franquia</t>
  </si>
  <si>
    <t xml:space="preserve">Produto</t>
  </si>
  <si>
    <t xml:space="preserve">SO jan/24</t>
  </si>
  <si>
    <t xml:space="preserve">SO fev/24</t>
  </si>
  <si>
    <t xml:space="preserve">SO mar/24</t>
  </si>
  <si>
    <t xml:space="preserve">SO abr/24</t>
  </si>
  <si>
    <t xml:space="preserve">SO mai/24</t>
  </si>
  <si>
    <t xml:space="preserve">SO jun/24</t>
  </si>
  <si>
    <t xml:space="preserve">SO jul/24</t>
  </si>
  <si>
    <t xml:space="preserve">SO ago/24</t>
  </si>
  <si>
    <t xml:space="preserve">SO set/24</t>
  </si>
  <si>
    <t xml:space="preserve">SO out/24</t>
  </si>
  <si>
    <t xml:space="preserve">SO nov/24</t>
  </si>
  <si>
    <t xml:space="preserve">SO dez/24</t>
  </si>
  <si>
    <t xml:space="preserve">SO jan/25</t>
  </si>
  <si>
    <t xml:space="preserve">SO fev/25</t>
  </si>
  <si>
    <t xml:space="preserve">SO mar/25</t>
  </si>
  <si>
    <t xml:space="preserve">SO abr/25</t>
  </si>
  <si>
    <t xml:space="preserve">SO mai/25</t>
  </si>
  <si>
    <t xml:space="preserve">SO jun/25</t>
  </si>
  <si>
    <t xml:space="preserve">SO jul/25</t>
  </si>
  <si>
    <t xml:space="preserve">SO ago/25</t>
  </si>
  <si>
    <t xml:space="preserve">SO set/25</t>
  </si>
  <si>
    <t xml:space="preserve">SO out/25</t>
  </si>
  <si>
    <t xml:space="preserve">SO nov/25</t>
  </si>
  <si>
    <t xml:space="preserve">SO dez/25</t>
  </si>
  <si>
    <t xml:space="preserve">SO jan/26</t>
  </si>
  <si>
    <t xml:space="preserve">SO fev/26</t>
  </si>
  <si>
    <t xml:space="preserve">SO mar/26</t>
  </si>
  <si>
    <t xml:space="preserve">SO abr/26</t>
  </si>
  <si>
    <t xml:space="preserve">SO mai/26</t>
  </si>
  <si>
    <t xml:space="preserve">SO jun/26</t>
  </si>
  <si>
    <t xml:space="preserve">SO jul/26</t>
  </si>
  <si>
    <t xml:space="preserve">SO ago/26</t>
  </si>
  <si>
    <t xml:space="preserve">SO set/26</t>
  </si>
  <si>
    <t xml:space="preserve">SO out/26</t>
  </si>
  <si>
    <t xml:space="preserve">SO nov/26</t>
  </si>
  <si>
    <t xml:space="preserve">SO dez/26</t>
  </si>
  <si>
    <t xml:space="preserve">SI jan/24</t>
  </si>
  <si>
    <t xml:space="preserve">SI fev/24</t>
  </si>
  <si>
    <t xml:space="preserve">SI mar/24</t>
  </si>
  <si>
    <t xml:space="preserve">SI abr/24</t>
  </si>
  <si>
    <t xml:space="preserve">SI mai/24</t>
  </si>
  <si>
    <t xml:space="preserve">SI jun/24</t>
  </si>
  <si>
    <t xml:space="preserve">SI jul/24</t>
  </si>
  <si>
    <t xml:space="preserve">SI ago/24</t>
  </si>
  <si>
    <t xml:space="preserve">SI set/24</t>
  </si>
  <si>
    <t xml:space="preserve">SI out/24</t>
  </si>
  <si>
    <t xml:space="preserve">SI nov/24</t>
  </si>
  <si>
    <t xml:space="preserve">SI dez/24</t>
  </si>
  <si>
    <t xml:space="preserve">SI jan/25</t>
  </si>
  <si>
    <t xml:space="preserve">SI fev/25</t>
  </si>
  <si>
    <t xml:space="preserve">SI mar/25</t>
  </si>
  <si>
    <t xml:space="preserve">SI abr/25</t>
  </si>
  <si>
    <t xml:space="preserve">SI mai/25</t>
  </si>
  <si>
    <t xml:space="preserve">SI jun/25</t>
  </si>
  <si>
    <t xml:space="preserve">SI jul/25</t>
  </si>
  <si>
    <t xml:space="preserve">SI ago/25</t>
  </si>
  <si>
    <t xml:space="preserve">SI set/25</t>
  </si>
  <si>
    <t xml:space="preserve">SI out/25</t>
  </si>
  <si>
    <t xml:space="preserve">SI nov/25</t>
  </si>
  <si>
    <t xml:space="preserve">SI dez/25</t>
  </si>
  <si>
    <t xml:space="preserve">SI jan/26</t>
  </si>
  <si>
    <t xml:space="preserve">SI fev/26</t>
  </si>
  <si>
    <t xml:space="preserve">SI mar/26</t>
  </si>
  <si>
    <t xml:space="preserve">SI abr/26</t>
  </si>
  <si>
    <t xml:space="preserve">SI mai/26</t>
  </si>
  <si>
    <t xml:space="preserve">SI jun/26</t>
  </si>
  <si>
    <t xml:space="preserve">SI jul/26</t>
  </si>
  <si>
    <t xml:space="preserve">SI ago/26</t>
  </si>
  <si>
    <t xml:space="preserve">SI set/26</t>
  </si>
  <si>
    <t xml:space="preserve">SI out/26</t>
  </si>
  <si>
    <t xml:space="preserve">SI nov/26</t>
  </si>
  <si>
    <t xml:space="preserve">SI dez/26</t>
  </si>
  <si>
    <t xml:space="preserve">Target 2026</t>
  </si>
  <si>
    <t xml:space="preserve">Realizado SI 2026</t>
  </si>
  <si>
    <t xml:space="preserve">YTGO (Saldo p/ Target)</t>
  </si>
  <si>
    <t xml:space="preserve">Atingimento %</t>
  </si>
  <si>
    <t xml:space="preserve">DE&amp;OH</t>
  </si>
  <si>
    <t xml:space="preserve">SYSTANE ULTRA</t>
  </si>
  <si>
    <t xml:space="preserve">TOBRADEX</t>
  </si>
  <si>
    <t xml:space="preserve">CLC</t>
  </si>
  <si>
    <t xml:space="preserve">PROVISC</t>
  </si>
  <si>
    <t xml:space="preserve">GLAUCOMA</t>
  </si>
  <si>
    <t xml:space="preserve">DURYSTA</t>
  </si>
  <si>
    <t xml:space="preserve">TRAVATAN Z</t>
  </si>
  <si>
    <t xml:space="preserve">PÓS-OP. &amp; PATANOL S</t>
  </si>
  <si>
    <t xml:space="preserve">PATADAY</t>
  </si>
  <si>
    <t xml:space="preserve">CL</t>
  </si>
  <si>
    <t xml:space="preserve">TOTAL 30</t>
  </si>
  <si>
    <t xml:space="preserve">Histórico por SKU — como usar</t>
  </si>
  <si>
    <t xml:space="preserve">1) Uma linha por SKU (Franquia + Produto). Cole os dados nas colunas de SELL-OUT e SELL-IN (mês a mês, 3 anos) e em Target 2026.</t>
  </si>
  <si>
    <t xml:space="preserve">2) As colunas em cinza são automáticas (fórmula) — NÃO precisa preencher:</t>
  </si>
  <si>
    <t xml:space="preserve">     • Realizado SI 2026 = soma de SI jan/26 a dez/26</t>
  </si>
  <si>
    <t xml:space="preserve">     • YTGO (Saldo p/ Target) = Target 2026 − Realizado SI 2026</t>
  </si>
  <si>
    <t xml:space="preserve">     • Atingimento % = Realizado SI 2026 / Target 2026</t>
  </si>
  <si>
    <t xml:space="preserve">3) O Atingimento já vem com cores: verde ≥100%, amarelo 80–99%, vermelho &lt;80%.</t>
  </si>
  <si>
    <t xml:space="preserve">4) Já existem 60 linhas com as fórmulas prontas. Para mais linhas, copie uma linha existente para baixo (mantém as fórmulas).</t>
  </si>
  <si>
    <t xml:space="preserve">5) Os números em AZUL (Target 2026) são inputs que você digita. Os pretos são valores que você cola.</t>
  </si>
  <si>
    <t xml:space="preserve">6) As 7 primeiras linhas têm dados fictícios só de exemplo — apague e ponha os reais.</t>
  </si>
  <si>
    <t xml:space="preserve">Dica: para o gap por mês, dá pra acrescentar colunas à direita sem quebrar nada.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</si>
</sst>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;\(0.0%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E3A5F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4"/>
      <color rgb="FF00359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333333"/>
      <name val="Arial"/>
      <family val="0"/>
      <charset val="1"/>
    </font>
    <font>
      <sz val="10"/>
      <color rgb="FF66666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0E7490"/>
        <bgColor rgb="FF0066CC"/>
      </patternFill>
    </fill>
    <fill>
      <patternFill patternType="solid">
        <fgColor rgb="FF1B7A4B"/>
        <bgColor rgb="FF0E7490"/>
      </patternFill>
    </fill>
    <fill>
      <patternFill patternType="solid">
        <fgColor rgb="FFB45309"/>
        <bgColor rgb="FF92600A"/>
      </patternFill>
    </fill>
    <fill>
      <patternFill patternType="solid">
        <fgColor rgb="FF003595"/>
        <bgColor rgb="FF1E3A5F"/>
      </patternFill>
    </fill>
    <fill>
      <patternFill patternType="solid">
        <fgColor rgb="FFEEF3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E2EF"/>
      </left>
      <right style="thin">
        <color rgb="FFD6E2EF"/>
      </right>
      <top style="thin">
        <color rgb="FFD6E2EF"/>
      </top>
      <bottom style="thin">
        <color rgb="FFD6E2E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00359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E3A5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EF3F8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B23A48"/>
          <bgColor rgb="FF000000"/>
        </patternFill>
      </fill>
    </dxf>
    <dxf>
      <font>
        <name val="Arial"/>
        <charset val="1"/>
        <family val="0"/>
        <b val="1"/>
        <color rgb="FF1B7A4B"/>
        <sz val="9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2600A"/>
        <sz val="9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B23A48"/>
        <sz val="9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2600A"/>
      <rgbColor rgb="FF800080"/>
      <rgbColor rgb="FF0E7490"/>
      <rgbColor rgb="FFC0C0C0"/>
      <rgbColor rgb="FF808080"/>
      <rgbColor rgb="FF9999FF"/>
      <rgbColor rgb="FFB23A48"/>
      <rgbColor rgb="FFEEF3F8"/>
      <rgbColor rgb="FFCCFFFF"/>
      <rgbColor rgb="FF660066"/>
      <rgbColor rgb="FFFF8080"/>
      <rgbColor rgb="FF0066CC"/>
      <rgbColor rgb="FFD6E2EF"/>
      <rgbColor rgb="FF000080"/>
      <rgbColor rgb="FFFF00FF"/>
      <rgbColor rgb="FFFFFF00"/>
      <rgbColor rgb="FF00FFFF"/>
      <rgbColor rgb="FF800080"/>
      <rgbColor rgb="FF800000"/>
      <rgbColor rgb="FF1B7A4B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595"/>
      <rgbColor rgb="FF339966"/>
      <rgbColor rgb="FF003300"/>
      <rgbColor rgb="FF333300"/>
      <rgbColor rgb="FFB45309"/>
      <rgbColor rgb="FF993366"/>
      <rgbColor rgb="FF1E3A5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Z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2"/>
    <col collapsed="false" customWidth="true" hidden="false" outlineLevel="0" max="74" min="3" style="0" width="9.51"/>
    <col collapsed="false" customWidth="true" hidden="false" outlineLevel="0" max="78" min="75" style="0" width="15"/>
  </cols>
  <sheetData>
    <row r="1" customFormat="false" ht="19.5" hidden="false" customHeight="true" outlineLevel="0" collapsed="false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 t="s">
        <v>2</v>
      </c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4" t="s">
        <v>3</v>
      </c>
      <c r="BX1" s="4"/>
      <c r="BY1" s="4"/>
      <c r="BZ1" s="4"/>
    </row>
    <row r="2" customFormat="false" ht="30" hidden="false" customHeight="true" outlineLevel="0" collapsed="false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  <c r="M2" s="5" t="s">
        <v>16</v>
      </c>
      <c r="N2" s="5" t="s">
        <v>17</v>
      </c>
      <c r="O2" s="5" t="s">
        <v>18</v>
      </c>
      <c r="P2" s="5" t="s">
        <v>19</v>
      </c>
      <c r="Q2" s="5" t="s">
        <v>20</v>
      </c>
      <c r="R2" s="5" t="s">
        <v>21</v>
      </c>
      <c r="S2" s="5" t="s">
        <v>22</v>
      </c>
      <c r="T2" s="5" t="s">
        <v>23</v>
      </c>
      <c r="U2" s="5" t="s">
        <v>24</v>
      </c>
      <c r="V2" s="5" t="s">
        <v>25</v>
      </c>
      <c r="W2" s="5" t="s">
        <v>26</v>
      </c>
      <c r="X2" s="5" t="s">
        <v>27</v>
      </c>
      <c r="Y2" s="5" t="s">
        <v>28</v>
      </c>
      <c r="Z2" s="5" t="s">
        <v>29</v>
      </c>
      <c r="AA2" s="5" t="s">
        <v>30</v>
      </c>
      <c r="AB2" s="5" t="s">
        <v>31</v>
      </c>
      <c r="AC2" s="5" t="s">
        <v>32</v>
      </c>
      <c r="AD2" s="5" t="s">
        <v>33</v>
      </c>
      <c r="AE2" s="5" t="s">
        <v>34</v>
      </c>
      <c r="AF2" s="5" t="s">
        <v>35</v>
      </c>
      <c r="AG2" s="5" t="s">
        <v>36</v>
      </c>
      <c r="AH2" s="5" t="s">
        <v>37</v>
      </c>
      <c r="AI2" s="5" t="s">
        <v>38</v>
      </c>
      <c r="AJ2" s="5" t="s">
        <v>39</v>
      </c>
      <c r="AK2" s="5" t="s">
        <v>40</v>
      </c>
      <c r="AL2" s="5" t="s">
        <v>41</v>
      </c>
      <c r="AM2" s="5" t="s">
        <v>42</v>
      </c>
      <c r="AN2" s="5" t="s">
        <v>43</v>
      </c>
      <c r="AO2" s="5" t="s">
        <v>44</v>
      </c>
      <c r="AP2" s="5" t="s">
        <v>45</v>
      </c>
      <c r="AQ2" s="5" t="s">
        <v>46</v>
      </c>
      <c r="AR2" s="5" t="s">
        <v>47</v>
      </c>
      <c r="AS2" s="5" t="s">
        <v>48</v>
      </c>
      <c r="AT2" s="5" t="s">
        <v>49</v>
      </c>
      <c r="AU2" s="5" t="s">
        <v>50</v>
      </c>
      <c r="AV2" s="5" t="s">
        <v>51</v>
      </c>
      <c r="AW2" s="5" t="s">
        <v>52</v>
      </c>
      <c r="AX2" s="5" t="s">
        <v>53</v>
      </c>
      <c r="AY2" s="5" t="s">
        <v>54</v>
      </c>
      <c r="AZ2" s="5" t="s">
        <v>55</v>
      </c>
      <c r="BA2" s="5" t="s">
        <v>56</v>
      </c>
      <c r="BB2" s="5" t="s">
        <v>57</v>
      </c>
      <c r="BC2" s="5" t="s">
        <v>58</v>
      </c>
      <c r="BD2" s="5" t="s">
        <v>59</v>
      </c>
      <c r="BE2" s="5" t="s">
        <v>60</v>
      </c>
      <c r="BF2" s="5" t="s">
        <v>61</v>
      </c>
      <c r="BG2" s="5" t="s">
        <v>62</v>
      </c>
      <c r="BH2" s="5" t="s">
        <v>63</v>
      </c>
      <c r="BI2" s="5" t="s">
        <v>64</v>
      </c>
      <c r="BJ2" s="5" t="s">
        <v>65</v>
      </c>
      <c r="BK2" s="5" t="s">
        <v>66</v>
      </c>
      <c r="BL2" s="5" t="s">
        <v>67</v>
      </c>
      <c r="BM2" s="5" t="s">
        <v>68</v>
      </c>
      <c r="BN2" s="5" t="s">
        <v>69</v>
      </c>
      <c r="BO2" s="5" t="s">
        <v>70</v>
      </c>
      <c r="BP2" s="5" t="s">
        <v>71</v>
      </c>
      <c r="BQ2" s="5" t="s">
        <v>72</v>
      </c>
      <c r="BR2" s="5" t="s">
        <v>73</v>
      </c>
      <c r="BS2" s="5" t="s">
        <v>74</v>
      </c>
      <c r="BT2" s="5" t="s">
        <v>75</v>
      </c>
      <c r="BU2" s="5" t="s">
        <v>76</v>
      </c>
      <c r="BV2" s="5" t="s">
        <v>77</v>
      </c>
      <c r="BW2" s="5" t="s">
        <v>78</v>
      </c>
      <c r="BX2" s="5" t="s">
        <v>79</v>
      </c>
      <c r="BY2" s="5" t="s">
        <v>80</v>
      </c>
      <c r="BZ2" s="5" t="s">
        <v>81</v>
      </c>
    </row>
    <row r="3" customFormat="false" ht="15" hidden="false" customHeight="false" outlineLevel="0" collapsed="false">
      <c r="A3" s="6" t="s">
        <v>82</v>
      </c>
      <c r="B3" s="7" t="s">
        <v>83</v>
      </c>
      <c r="C3" s="8" t="n">
        <v>2613</v>
      </c>
      <c r="D3" s="8" t="n">
        <v>2142</v>
      </c>
      <c r="E3" s="8" t="n">
        <v>1848</v>
      </c>
      <c r="F3" s="8" t="n">
        <v>2505</v>
      </c>
      <c r="G3" s="8" t="n">
        <v>1887</v>
      </c>
      <c r="H3" s="8" t="n">
        <v>2302</v>
      </c>
      <c r="I3" s="8" t="n">
        <v>2580</v>
      </c>
      <c r="J3" s="8" t="n">
        <v>1989</v>
      </c>
      <c r="K3" s="8" t="n">
        <v>1880</v>
      </c>
      <c r="L3" s="8" t="n">
        <v>2162</v>
      </c>
      <c r="M3" s="8" t="n">
        <v>2011</v>
      </c>
      <c r="N3" s="8" t="n">
        <v>2275</v>
      </c>
      <c r="O3" s="8" t="n">
        <v>1950</v>
      </c>
      <c r="P3" s="8" t="n">
        <v>2402</v>
      </c>
      <c r="Q3" s="8" t="n">
        <v>2743</v>
      </c>
      <c r="R3" s="8" t="n">
        <v>2460</v>
      </c>
      <c r="S3" s="8" t="n">
        <v>2418</v>
      </c>
      <c r="T3" s="8" t="n">
        <v>1952</v>
      </c>
      <c r="U3" s="8" t="n">
        <v>2420</v>
      </c>
      <c r="V3" s="8" t="n">
        <v>1941</v>
      </c>
      <c r="W3" s="8" t="n">
        <v>2094</v>
      </c>
      <c r="X3" s="8" t="n">
        <v>2394</v>
      </c>
      <c r="Y3" s="8" t="n">
        <v>2016</v>
      </c>
      <c r="Z3" s="8" t="n">
        <v>2271</v>
      </c>
      <c r="AA3" s="8" t="n">
        <v>2493</v>
      </c>
      <c r="AB3" s="8" t="n">
        <v>2521</v>
      </c>
      <c r="AC3" s="8" t="n">
        <v>2511</v>
      </c>
      <c r="AD3" s="8" t="n">
        <v>2625</v>
      </c>
      <c r="AE3" s="8"/>
      <c r="AF3" s="8"/>
      <c r="AG3" s="8"/>
      <c r="AH3" s="8"/>
      <c r="AI3" s="8"/>
      <c r="AJ3" s="8"/>
      <c r="AK3" s="8"/>
      <c r="AL3" s="8"/>
      <c r="AM3" s="8" t="n">
        <v>2178</v>
      </c>
      <c r="AN3" s="8" t="n">
        <v>2636</v>
      </c>
      <c r="AO3" s="8" t="n">
        <v>2261</v>
      </c>
      <c r="AP3" s="8" t="n">
        <v>2173</v>
      </c>
      <c r="AQ3" s="8" t="n">
        <v>2774</v>
      </c>
      <c r="AR3" s="8" t="n">
        <v>2630</v>
      </c>
      <c r="AS3" s="8" t="n">
        <v>2683</v>
      </c>
      <c r="AT3" s="8" t="n">
        <v>2563</v>
      </c>
      <c r="AU3" s="8" t="n">
        <v>2598</v>
      </c>
      <c r="AV3" s="8" t="n">
        <v>2838</v>
      </c>
      <c r="AW3" s="8" t="n">
        <v>2533</v>
      </c>
      <c r="AX3" s="8" t="n">
        <v>2981</v>
      </c>
      <c r="AY3" s="8" t="n">
        <v>2553</v>
      </c>
      <c r="AZ3" s="8" t="n">
        <v>2437</v>
      </c>
      <c r="BA3" s="8" t="n">
        <v>2366</v>
      </c>
      <c r="BB3" s="8" t="n">
        <v>2982</v>
      </c>
      <c r="BC3" s="8" t="n">
        <v>2266</v>
      </c>
      <c r="BD3" s="8" t="n">
        <v>2490</v>
      </c>
      <c r="BE3" s="8" t="n">
        <v>2690</v>
      </c>
      <c r="BF3" s="8" t="n">
        <v>2534</v>
      </c>
      <c r="BG3" s="8" t="n">
        <v>2642</v>
      </c>
      <c r="BH3" s="8" t="n">
        <v>2807</v>
      </c>
      <c r="BI3" s="8" t="n">
        <v>2257</v>
      </c>
      <c r="BJ3" s="8" t="n">
        <v>2707</v>
      </c>
      <c r="BK3" s="8" t="n">
        <v>2463</v>
      </c>
      <c r="BL3" s="8" t="n">
        <v>2653</v>
      </c>
      <c r="BM3" s="8" t="n">
        <v>3289</v>
      </c>
      <c r="BN3" s="8" t="n">
        <v>2739</v>
      </c>
      <c r="BO3" s="8"/>
      <c r="BP3" s="8"/>
      <c r="BQ3" s="8"/>
      <c r="BR3" s="8"/>
      <c r="BS3" s="8"/>
      <c r="BT3" s="8"/>
      <c r="BU3" s="8"/>
      <c r="BV3" s="8"/>
      <c r="BW3" s="9" t="n">
        <v>32272</v>
      </c>
      <c r="BX3" s="10" t="n">
        <f aca="false">IF(SUM(BK3:BV3)=0,"",SUM(BK3:BV3))</f>
        <v>11144</v>
      </c>
      <c r="BY3" s="10" t="n">
        <f aca="false">IF(N(BW3)=0,"",BW3-N(BX3))</f>
        <v>21128</v>
      </c>
      <c r="BZ3" s="11" t="n">
        <f aca="false">IFERROR(N(BX3)/BW3,"")</f>
        <v>0.345314823996034</v>
      </c>
    </row>
    <row r="4" customFormat="false" ht="15" hidden="false" customHeight="false" outlineLevel="0" collapsed="false">
      <c r="A4" s="6" t="s">
        <v>82</v>
      </c>
      <c r="B4" s="7" t="s">
        <v>84</v>
      </c>
      <c r="C4" s="8" t="n">
        <v>3116</v>
      </c>
      <c r="D4" s="8" t="n">
        <v>3796</v>
      </c>
      <c r="E4" s="8" t="n">
        <v>4122</v>
      </c>
      <c r="F4" s="8" t="n">
        <v>4164</v>
      </c>
      <c r="G4" s="8" t="n">
        <v>3487</v>
      </c>
      <c r="H4" s="8" t="n">
        <v>3501</v>
      </c>
      <c r="I4" s="8" t="n">
        <v>3709</v>
      </c>
      <c r="J4" s="8" t="n">
        <v>4133</v>
      </c>
      <c r="K4" s="8" t="n">
        <v>3103</v>
      </c>
      <c r="L4" s="8" t="n">
        <v>3138</v>
      </c>
      <c r="M4" s="8" t="n">
        <v>3388</v>
      </c>
      <c r="N4" s="8" t="n">
        <v>3992</v>
      </c>
      <c r="O4" s="8" t="n">
        <v>3253</v>
      </c>
      <c r="P4" s="8" t="n">
        <v>4242</v>
      </c>
      <c r="Q4" s="8" t="n">
        <v>3616</v>
      </c>
      <c r="R4" s="8" t="n">
        <v>4015</v>
      </c>
      <c r="S4" s="8" t="n">
        <v>4168</v>
      </c>
      <c r="T4" s="8" t="n">
        <v>3818</v>
      </c>
      <c r="U4" s="8" t="n">
        <v>4221</v>
      </c>
      <c r="V4" s="8" t="n">
        <v>4474</v>
      </c>
      <c r="W4" s="8" t="n">
        <v>3672</v>
      </c>
      <c r="X4" s="8" t="n">
        <v>4554</v>
      </c>
      <c r="Y4" s="8" t="n">
        <v>3684</v>
      </c>
      <c r="Z4" s="8" t="n">
        <v>4064</v>
      </c>
      <c r="AA4" s="8" t="n">
        <v>4075</v>
      </c>
      <c r="AB4" s="8" t="n">
        <v>3646</v>
      </c>
      <c r="AC4" s="8" t="n">
        <v>3754</v>
      </c>
      <c r="AD4" s="8" t="n">
        <v>4456</v>
      </c>
      <c r="AE4" s="8"/>
      <c r="AF4" s="8"/>
      <c r="AG4" s="8"/>
      <c r="AH4" s="8"/>
      <c r="AI4" s="8"/>
      <c r="AJ4" s="8"/>
      <c r="AK4" s="8"/>
      <c r="AL4" s="8"/>
      <c r="AM4" s="8" t="n">
        <v>4104</v>
      </c>
      <c r="AN4" s="8" t="n">
        <v>4949</v>
      </c>
      <c r="AO4" s="8" t="n">
        <v>4265</v>
      </c>
      <c r="AP4" s="8" t="n">
        <v>3728</v>
      </c>
      <c r="AQ4" s="8" t="n">
        <v>4110</v>
      </c>
      <c r="AR4" s="8" t="n">
        <v>3909</v>
      </c>
      <c r="AS4" s="8" t="n">
        <v>3680</v>
      </c>
      <c r="AT4" s="8" t="n">
        <v>4157</v>
      </c>
      <c r="AU4" s="8" t="n">
        <v>4352</v>
      </c>
      <c r="AV4" s="8" t="n">
        <v>4606</v>
      </c>
      <c r="AW4" s="8" t="n">
        <v>5062</v>
      </c>
      <c r="AX4" s="8" t="n">
        <v>4568</v>
      </c>
      <c r="AY4" s="8" t="n">
        <v>4280</v>
      </c>
      <c r="AZ4" s="8" t="n">
        <v>4024</v>
      </c>
      <c r="BA4" s="8" t="n">
        <v>3772</v>
      </c>
      <c r="BB4" s="8" t="n">
        <v>3888</v>
      </c>
      <c r="BC4" s="8" t="n">
        <v>4755</v>
      </c>
      <c r="BD4" s="8" t="n">
        <v>3650</v>
      </c>
      <c r="BE4" s="8" t="n">
        <v>5050</v>
      </c>
      <c r="BF4" s="8" t="n">
        <v>3941</v>
      </c>
      <c r="BG4" s="8" t="n">
        <v>4111</v>
      </c>
      <c r="BH4" s="8" t="n">
        <v>3879</v>
      </c>
      <c r="BI4" s="8" t="n">
        <v>4543</v>
      </c>
      <c r="BJ4" s="8" t="n">
        <v>4672</v>
      </c>
      <c r="BK4" s="8" t="n">
        <v>4373</v>
      </c>
      <c r="BL4" s="8" t="n">
        <v>4027</v>
      </c>
      <c r="BM4" s="8" t="n">
        <v>5340</v>
      </c>
      <c r="BN4" s="8" t="n">
        <v>5503</v>
      </c>
      <c r="BO4" s="8"/>
      <c r="BP4" s="8"/>
      <c r="BQ4" s="8"/>
      <c r="BR4" s="8"/>
      <c r="BS4" s="8"/>
      <c r="BT4" s="8"/>
      <c r="BU4" s="8"/>
      <c r="BV4" s="8"/>
      <c r="BW4" s="9" t="n">
        <v>53691</v>
      </c>
      <c r="BX4" s="10" t="n">
        <f aca="false">IF(SUM(BK4:BV4)=0,"",SUM(BK4:BV4))</f>
        <v>19243</v>
      </c>
      <c r="BY4" s="10" t="n">
        <f aca="false">IF(N(BW4)=0,"",BW4-N(BX4))</f>
        <v>34448</v>
      </c>
      <c r="BZ4" s="11" t="n">
        <f aca="false">IFERROR(N(BX4)/BW4,"")</f>
        <v>0.358402711813898</v>
      </c>
    </row>
    <row r="5" customFormat="false" ht="15" hidden="false" customHeight="false" outlineLevel="0" collapsed="false">
      <c r="A5" s="6" t="s">
        <v>85</v>
      </c>
      <c r="B5" s="7" t="s">
        <v>86</v>
      </c>
      <c r="C5" s="8" t="n">
        <v>3901</v>
      </c>
      <c r="D5" s="8" t="n">
        <v>3034</v>
      </c>
      <c r="E5" s="8" t="n">
        <v>4212</v>
      </c>
      <c r="F5" s="8" t="n">
        <v>4046</v>
      </c>
      <c r="G5" s="8" t="n">
        <v>4177</v>
      </c>
      <c r="H5" s="8" t="n">
        <v>4070</v>
      </c>
      <c r="I5" s="8" t="n">
        <v>3506</v>
      </c>
      <c r="J5" s="8" t="n">
        <v>3515</v>
      </c>
      <c r="K5" s="8" t="n">
        <v>3103</v>
      </c>
      <c r="L5" s="8" t="n">
        <v>3843</v>
      </c>
      <c r="M5" s="8" t="n">
        <v>3046</v>
      </c>
      <c r="N5" s="8" t="n">
        <v>3053</v>
      </c>
      <c r="O5" s="8" t="n">
        <v>3412</v>
      </c>
      <c r="P5" s="8" t="n">
        <v>3345</v>
      </c>
      <c r="Q5" s="8" t="n">
        <v>3604</v>
      </c>
      <c r="R5" s="8" t="n">
        <v>3184</v>
      </c>
      <c r="S5" s="8" t="n">
        <v>3108</v>
      </c>
      <c r="T5" s="8" t="n">
        <v>3328</v>
      </c>
      <c r="U5" s="8" t="n">
        <v>3256</v>
      </c>
      <c r="V5" s="8" t="n">
        <v>3639</v>
      </c>
      <c r="W5" s="8" t="n">
        <v>3144</v>
      </c>
      <c r="X5" s="8" t="n">
        <v>4386</v>
      </c>
      <c r="Y5" s="8" t="n">
        <v>4005</v>
      </c>
      <c r="Z5" s="8" t="n">
        <v>3324</v>
      </c>
      <c r="AA5" s="8" t="n">
        <v>3642</v>
      </c>
      <c r="AB5" s="8" t="n">
        <v>3787</v>
      </c>
      <c r="AC5" s="8" t="n">
        <v>3813</v>
      </c>
      <c r="AD5" s="8" t="n">
        <v>3443</v>
      </c>
      <c r="AE5" s="8"/>
      <c r="AF5" s="8"/>
      <c r="AG5" s="8"/>
      <c r="AH5" s="8"/>
      <c r="AI5" s="8"/>
      <c r="AJ5" s="8"/>
      <c r="AK5" s="8"/>
      <c r="AL5" s="8"/>
      <c r="AM5" s="8" t="n">
        <v>4763</v>
      </c>
      <c r="AN5" s="8" t="n">
        <v>4994</v>
      </c>
      <c r="AO5" s="8" t="n">
        <v>4150</v>
      </c>
      <c r="AP5" s="8" t="n">
        <v>4178</v>
      </c>
      <c r="AQ5" s="8" t="n">
        <v>3541</v>
      </c>
      <c r="AR5" s="8" t="n">
        <v>3567</v>
      </c>
      <c r="AS5" s="8" t="n">
        <v>3952</v>
      </c>
      <c r="AT5" s="8" t="n">
        <v>3827</v>
      </c>
      <c r="AU5" s="8" t="n">
        <v>4731</v>
      </c>
      <c r="AV5" s="8" t="n">
        <v>3662</v>
      </c>
      <c r="AW5" s="8" t="n">
        <v>3440</v>
      </c>
      <c r="AX5" s="8" t="n">
        <v>4926</v>
      </c>
      <c r="AY5" s="8" t="n">
        <v>4462</v>
      </c>
      <c r="AZ5" s="8" t="n">
        <v>3820</v>
      </c>
      <c r="BA5" s="8" t="n">
        <v>4487</v>
      </c>
      <c r="BB5" s="8" t="n">
        <v>3619</v>
      </c>
      <c r="BC5" s="8" t="n">
        <v>4462</v>
      </c>
      <c r="BD5" s="8" t="n">
        <v>5219</v>
      </c>
      <c r="BE5" s="8" t="n">
        <v>5025</v>
      </c>
      <c r="BF5" s="8" t="n">
        <v>4744</v>
      </c>
      <c r="BG5" s="8" t="n">
        <v>4012</v>
      </c>
      <c r="BH5" s="8" t="n">
        <v>4190</v>
      </c>
      <c r="BI5" s="8" t="n">
        <v>3854</v>
      </c>
      <c r="BJ5" s="8" t="n">
        <v>4872</v>
      </c>
      <c r="BK5" s="8" t="n">
        <v>4682</v>
      </c>
      <c r="BL5" s="8" t="n">
        <v>5116</v>
      </c>
      <c r="BM5" s="8" t="n">
        <v>4324</v>
      </c>
      <c r="BN5" s="8" t="n">
        <v>4136</v>
      </c>
      <c r="BO5" s="8"/>
      <c r="BP5" s="8"/>
      <c r="BQ5" s="8"/>
      <c r="BR5" s="8"/>
      <c r="BS5" s="8"/>
      <c r="BT5" s="8"/>
      <c r="BU5" s="8"/>
      <c r="BV5" s="8"/>
      <c r="BW5" s="9" t="n">
        <v>52856</v>
      </c>
      <c r="BX5" s="10" t="n">
        <f aca="false">IF(SUM(BK5:BV5)=0,"",SUM(BK5:BV5))</f>
        <v>18258</v>
      </c>
      <c r="BY5" s="10" t="n">
        <f aca="false">IF(N(BW5)=0,"",BW5-N(BX5))</f>
        <v>34598</v>
      </c>
      <c r="BZ5" s="11" t="n">
        <f aca="false">IFERROR(N(BX5)/BW5,"")</f>
        <v>0.34542909035871</v>
      </c>
    </row>
    <row r="6" customFormat="false" ht="15" hidden="false" customHeight="false" outlineLevel="0" collapsed="false">
      <c r="A6" s="6" t="s">
        <v>87</v>
      </c>
      <c r="B6" s="7" t="s">
        <v>88</v>
      </c>
      <c r="C6" s="8" t="n">
        <v>4652</v>
      </c>
      <c r="D6" s="8" t="n">
        <v>4579</v>
      </c>
      <c r="E6" s="8" t="n">
        <v>4598</v>
      </c>
      <c r="F6" s="8" t="n">
        <v>4476</v>
      </c>
      <c r="G6" s="8" t="n">
        <v>3674</v>
      </c>
      <c r="H6" s="8" t="n">
        <v>4128</v>
      </c>
      <c r="I6" s="8" t="n">
        <v>3875</v>
      </c>
      <c r="J6" s="8" t="n">
        <v>3365</v>
      </c>
      <c r="K6" s="8" t="n">
        <v>3363</v>
      </c>
      <c r="L6" s="8" t="n">
        <v>3756</v>
      </c>
      <c r="M6" s="8" t="n">
        <v>3725</v>
      </c>
      <c r="N6" s="8" t="n">
        <v>4402</v>
      </c>
      <c r="O6" s="8" t="n">
        <v>5055</v>
      </c>
      <c r="P6" s="8" t="n">
        <v>4219</v>
      </c>
      <c r="Q6" s="8" t="n">
        <v>5023</v>
      </c>
      <c r="R6" s="8" t="n">
        <v>5107</v>
      </c>
      <c r="S6" s="8" t="n">
        <v>5052</v>
      </c>
      <c r="T6" s="8" t="n">
        <v>4084</v>
      </c>
      <c r="U6" s="8" t="n">
        <v>3847</v>
      </c>
      <c r="V6" s="8" t="n">
        <v>3858</v>
      </c>
      <c r="W6" s="8" t="n">
        <v>3808</v>
      </c>
      <c r="X6" s="8" t="n">
        <v>3821</v>
      </c>
      <c r="Y6" s="8" t="n">
        <v>4509</v>
      </c>
      <c r="Z6" s="8" t="n">
        <v>4963</v>
      </c>
      <c r="AA6" s="8" t="n">
        <v>5096</v>
      </c>
      <c r="AB6" s="8" t="n">
        <v>4476</v>
      </c>
      <c r="AC6" s="8" t="n">
        <v>4774</v>
      </c>
      <c r="AD6" s="8" t="n">
        <v>5026</v>
      </c>
      <c r="AE6" s="8"/>
      <c r="AF6" s="8"/>
      <c r="AG6" s="8"/>
      <c r="AH6" s="8"/>
      <c r="AI6" s="8"/>
      <c r="AJ6" s="8"/>
      <c r="AK6" s="8"/>
      <c r="AL6" s="8"/>
      <c r="AM6" s="8" t="n">
        <v>3970</v>
      </c>
      <c r="AN6" s="8" t="n">
        <v>5005</v>
      </c>
      <c r="AO6" s="8" t="n">
        <v>5452</v>
      </c>
      <c r="AP6" s="8" t="n">
        <v>5223</v>
      </c>
      <c r="AQ6" s="8" t="n">
        <v>5165</v>
      </c>
      <c r="AR6" s="8" t="n">
        <v>4677</v>
      </c>
      <c r="AS6" s="8" t="n">
        <v>4138</v>
      </c>
      <c r="AT6" s="8" t="n">
        <v>5236</v>
      </c>
      <c r="AU6" s="8" t="n">
        <v>4415</v>
      </c>
      <c r="AV6" s="8" t="n">
        <v>5257</v>
      </c>
      <c r="AW6" s="8" t="n">
        <v>5563</v>
      </c>
      <c r="AX6" s="8" t="n">
        <v>4529</v>
      </c>
      <c r="AY6" s="8" t="n">
        <v>4766</v>
      </c>
      <c r="AZ6" s="8" t="n">
        <v>5795</v>
      </c>
      <c r="BA6" s="8" t="n">
        <v>5376</v>
      </c>
      <c r="BB6" s="8" t="n">
        <v>4329</v>
      </c>
      <c r="BC6" s="8" t="n">
        <v>4248</v>
      </c>
      <c r="BD6" s="8" t="n">
        <v>4294</v>
      </c>
      <c r="BE6" s="8" t="n">
        <v>5716</v>
      </c>
      <c r="BF6" s="8" t="n">
        <v>5530</v>
      </c>
      <c r="BG6" s="8" t="n">
        <v>4284</v>
      </c>
      <c r="BH6" s="8" t="n">
        <v>5568</v>
      </c>
      <c r="BI6" s="8" t="n">
        <v>5858</v>
      </c>
      <c r="BJ6" s="8" t="n">
        <v>5249</v>
      </c>
      <c r="BK6" s="8" t="n">
        <v>4892</v>
      </c>
      <c r="BL6" s="8" t="n">
        <v>5284</v>
      </c>
      <c r="BM6" s="8" t="n">
        <v>4458</v>
      </c>
      <c r="BN6" s="8" t="n">
        <v>4228</v>
      </c>
      <c r="BO6" s="8"/>
      <c r="BP6" s="8"/>
      <c r="BQ6" s="8"/>
      <c r="BR6" s="8"/>
      <c r="BS6" s="8"/>
      <c r="BT6" s="8"/>
      <c r="BU6" s="8"/>
      <c r="BV6" s="8"/>
      <c r="BW6" s="9" t="n">
        <v>59293</v>
      </c>
      <c r="BX6" s="10" t="n">
        <f aca="false">IF(SUM(BK6:BV6)=0,"",SUM(BK6:BV6))</f>
        <v>18862</v>
      </c>
      <c r="BY6" s="10" t="n">
        <f aca="false">IF(N(BW6)=0,"",BW6-N(BX6))</f>
        <v>40431</v>
      </c>
      <c r="BZ6" s="11" t="n">
        <f aca="false">IFERROR(N(BX6)/BW6,"")</f>
        <v>0.318115123201727</v>
      </c>
    </row>
    <row r="7" customFormat="false" ht="15" hidden="false" customHeight="false" outlineLevel="0" collapsed="false">
      <c r="A7" s="6" t="s">
        <v>87</v>
      </c>
      <c r="B7" s="7" t="s">
        <v>89</v>
      </c>
      <c r="C7" s="8" t="n">
        <v>4189</v>
      </c>
      <c r="D7" s="8" t="n">
        <v>4003</v>
      </c>
      <c r="E7" s="8" t="n">
        <v>4618</v>
      </c>
      <c r="F7" s="8" t="n">
        <v>3863</v>
      </c>
      <c r="G7" s="8" t="n">
        <v>4525</v>
      </c>
      <c r="H7" s="8" t="n">
        <v>4456</v>
      </c>
      <c r="I7" s="8" t="n">
        <v>3527</v>
      </c>
      <c r="J7" s="8" t="n">
        <v>3589</v>
      </c>
      <c r="K7" s="8" t="n">
        <v>3651</v>
      </c>
      <c r="L7" s="8" t="n">
        <v>3571</v>
      </c>
      <c r="M7" s="8" t="n">
        <v>4094</v>
      </c>
      <c r="N7" s="8" t="n">
        <v>3600</v>
      </c>
      <c r="O7" s="8" t="n">
        <v>4033</v>
      </c>
      <c r="P7" s="8" t="n">
        <v>3577</v>
      </c>
      <c r="Q7" s="8" t="n">
        <v>4812</v>
      </c>
      <c r="R7" s="8" t="n">
        <v>3930</v>
      </c>
      <c r="S7" s="8" t="n">
        <v>4095</v>
      </c>
      <c r="T7" s="8" t="n">
        <v>4294</v>
      </c>
      <c r="U7" s="8" t="n">
        <v>4802</v>
      </c>
      <c r="V7" s="8" t="n">
        <v>4036</v>
      </c>
      <c r="W7" s="8" t="n">
        <v>4824</v>
      </c>
      <c r="X7" s="8" t="n">
        <v>4164</v>
      </c>
      <c r="Y7" s="8" t="n">
        <v>4212</v>
      </c>
      <c r="Z7" s="8" t="n">
        <v>4199</v>
      </c>
      <c r="AA7" s="8" t="n">
        <v>3560</v>
      </c>
      <c r="AB7" s="8" t="n">
        <v>4260</v>
      </c>
      <c r="AC7" s="8" t="n">
        <v>3833</v>
      </c>
      <c r="AD7" s="8" t="n">
        <v>3536</v>
      </c>
      <c r="AE7" s="8"/>
      <c r="AF7" s="8"/>
      <c r="AG7" s="8"/>
      <c r="AH7" s="8"/>
      <c r="AI7" s="8"/>
      <c r="AJ7" s="8"/>
      <c r="AK7" s="8"/>
      <c r="AL7" s="8"/>
      <c r="AM7" s="8" t="n">
        <v>5077</v>
      </c>
      <c r="AN7" s="8" t="n">
        <v>3989</v>
      </c>
      <c r="AO7" s="8" t="n">
        <v>4512</v>
      </c>
      <c r="AP7" s="8" t="n">
        <v>4949</v>
      </c>
      <c r="AQ7" s="8" t="n">
        <v>4656</v>
      </c>
      <c r="AR7" s="8" t="n">
        <v>4256</v>
      </c>
      <c r="AS7" s="8" t="n">
        <v>4590</v>
      </c>
      <c r="AT7" s="8" t="n">
        <v>4654</v>
      </c>
      <c r="AU7" s="8" t="n">
        <v>5051</v>
      </c>
      <c r="AV7" s="8" t="n">
        <v>3874</v>
      </c>
      <c r="AW7" s="8" t="n">
        <v>4663</v>
      </c>
      <c r="AX7" s="8" t="n">
        <v>4121</v>
      </c>
      <c r="AY7" s="8" t="n">
        <v>4379</v>
      </c>
      <c r="AZ7" s="8" t="n">
        <v>5282</v>
      </c>
      <c r="BA7" s="8" t="n">
        <v>4800</v>
      </c>
      <c r="BB7" s="8" t="n">
        <v>4898</v>
      </c>
      <c r="BC7" s="8" t="n">
        <v>5260</v>
      </c>
      <c r="BD7" s="8" t="n">
        <v>5538</v>
      </c>
      <c r="BE7" s="8" t="n">
        <v>4682</v>
      </c>
      <c r="BF7" s="8" t="n">
        <v>4991</v>
      </c>
      <c r="BG7" s="8" t="n">
        <v>4796</v>
      </c>
      <c r="BH7" s="8" t="n">
        <v>4808</v>
      </c>
      <c r="BI7" s="8" t="n">
        <v>5137</v>
      </c>
      <c r="BJ7" s="8" t="n">
        <v>4699</v>
      </c>
      <c r="BK7" s="8" t="n">
        <v>5077</v>
      </c>
      <c r="BL7" s="8" t="n">
        <v>4972</v>
      </c>
      <c r="BM7" s="8" t="n">
        <v>5857</v>
      </c>
      <c r="BN7" s="8" t="n">
        <v>5394</v>
      </c>
      <c r="BO7" s="8"/>
      <c r="BP7" s="8"/>
      <c r="BQ7" s="8"/>
      <c r="BR7" s="8"/>
      <c r="BS7" s="8"/>
      <c r="BT7" s="8"/>
      <c r="BU7" s="8"/>
      <c r="BV7" s="8"/>
      <c r="BW7" s="9" t="n">
        <v>57304</v>
      </c>
      <c r="BX7" s="10" t="n">
        <f aca="false">IF(SUM(BK7:BV7)=0,"",SUM(BK7:BV7))</f>
        <v>21300</v>
      </c>
      <c r="BY7" s="10" t="n">
        <f aca="false">IF(N(BW7)=0,"",BW7-N(BX7))</f>
        <v>36004</v>
      </c>
      <c r="BZ7" s="11" t="n">
        <f aca="false">IFERROR(N(BX7)/BW7,"")</f>
        <v>0.371701800921402</v>
      </c>
    </row>
    <row r="8" customFormat="false" ht="15" hidden="false" customHeight="false" outlineLevel="0" collapsed="false">
      <c r="A8" s="6" t="s">
        <v>90</v>
      </c>
      <c r="B8" s="7" t="s">
        <v>91</v>
      </c>
      <c r="C8" s="8" t="n">
        <v>2271</v>
      </c>
      <c r="D8" s="8" t="n">
        <v>2248</v>
      </c>
      <c r="E8" s="8" t="n">
        <v>1734</v>
      </c>
      <c r="F8" s="8" t="n">
        <v>1917</v>
      </c>
      <c r="G8" s="8" t="n">
        <v>1894</v>
      </c>
      <c r="H8" s="8" t="n">
        <v>1875</v>
      </c>
      <c r="I8" s="8" t="n">
        <v>1819</v>
      </c>
      <c r="J8" s="8" t="n">
        <v>2083</v>
      </c>
      <c r="K8" s="8" t="n">
        <v>1902</v>
      </c>
      <c r="L8" s="8" t="n">
        <v>1742</v>
      </c>
      <c r="M8" s="8" t="n">
        <v>1809</v>
      </c>
      <c r="N8" s="8" t="n">
        <v>1674</v>
      </c>
      <c r="O8" s="8" t="n">
        <v>2270</v>
      </c>
      <c r="P8" s="8" t="n">
        <v>2397</v>
      </c>
      <c r="Q8" s="8" t="n">
        <v>2166</v>
      </c>
      <c r="R8" s="8" t="n">
        <v>1949</v>
      </c>
      <c r="S8" s="8" t="n">
        <v>1860</v>
      </c>
      <c r="T8" s="8" t="n">
        <v>1770</v>
      </c>
      <c r="U8" s="8" t="n">
        <v>2028</v>
      </c>
      <c r="V8" s="8" t="n">
        <v>2246</v>
      </c>
      <c r="W8" s="8" t="n">
        <v>1736</v>
      </c>
      <c r="X8" s="8" t="n">
        <v>2355</v>
      </c>
      <c r="Y8" s="8" t="n">
        <v>1790</v>
      </c>
      <c r="Z8" s="8" t="n">
        <v>2185</v>
      </c>
      <c r="AA8" s="8" t="n">
        <v>1925</v>
      </c>
      <c r="AB8" s="8" t="n">
        <v>2320</v>
      </c>
      <c r="AC8" s="8" t="n">
        <v>2556</v>
      </c>
      <c r="AD8" s="8" t="n">
        <v>2072</v>
      </c>
      <c r="AE8" s="8"/>
      <c r="AF8" s="8"/>
      <c r="AG8" s="8"/>
      <c r="AH8" s="8"/>
      <c r="AI8" s="8"/>
      <c r="AJ8" s="8"/>
      <c r="AK8" s="8"/>
      <c r="AL8" s="8"/>
      <c r="AM8" s="8" t="n">
        <v>2182</v>
      </c>
      <c r="AN8" s="8" t="n">
        <v>2126</v>
      </c>
      <c r="AO8" s="8" t="n">
        <v>1900</v>
      </c>
      <c r="AP8" s="8" t="n">
        <v>2134</v>
      </c>
      <c r="AQ8" s="8" t="n">
        <v>2110</v>
      </c>
      <c r="AR8" s="8" t="n">
        <v>2214</v>
      </c>
      <c r="AS8" s="8" t="n">
        <v>2423</v>
      </c>
      <c r="AT8" s="8" t="n">
        <v>2150</v>
      </c>
      <c r="AU8" s="8" t="n">
        <v>2264</v>
      </c>
      <c r="AV8" s="8" t="n">
        <v>2074</v>
      </c>
      <c r="AW8" s="8" t="n">
        <v>2644</v>
      </c>
      <c r="AX8" s="8" t="n">
        <v>1917</v>
      </c>
      <c r="AY8" s="8" t="n">
        <v>2738</v>
      </c>
      <c r="AZ8" s="8" t="n">
        <v>2117</v>
      </c>
      <c r="BA8" s="8" t="n">
        <v>2700</v>
      </c>
      <c r="BB8" s="8" t="n">
        <v>1987</v>
      </c>
      <c r="BC8" s="8" t="n">
        <v>2156</v>
      </c>
      <c r="BD8" s="8" t="n">
        <v>2727</v>
      </c>
      <c r="BE8" s="8" t="n">
        <v>2075</v>
      </c>
      <c r="BF8" s="8" t="n">
        <v>2592</v>
      </c>
      <c r="BG8" s="8" t="n">
        <v>2649</v>
      </c>
      <c r="BH8" s="8" t="n">
        <v>2676</v>
      </c>
      <c r="BI8" s="8" t="n">
        <v>2520</v>
      </c>
      <c r="BJ8" s="8" t="n">
        <v>2763</v>
      </c>
      <c r="BK8" s="8" t="n">
        <v>2385</v>
      </c>
      <c r="BL8" s="8" t="n">
        <v>2509</v>
      </c>
      <c r="BM8" s="8" t="n">
        <v>2488</v>
      </c>
      <c r="BN8" s="8" t="n">
        <v>2469</v>
      </c>
      <c r="BO8" s="8"/>
      <c r="BP8" s="8"/>
      <c r="BQ8" s="8"/>
      <c r="BR8" s="8"/>
      <c r="BS8" s="8"/>
      <c r="BT8" s="8"/>
      <c r="BU8" s="8"/>
      <c r="BV8" s="8"/>
      <c r="BW8" s="9" t="n">
        <v>28280</v>
      </c>
      <c r="BX8" s="10" t="n">
        <f aca="false">IF(SUM(BK8:BV8)=0,"",SUM(BK8:BV8))</f>
        <v>9851</v>
      </c>
      <c r="BY8" s="10" t="n">
        <f aca="false">IF(N(BW8)=0,"",BW8-N(BX8))</f>
        <v>18429</v>
      </c>
      <c r="BZ8" s="11" t="n">
        <f aca="false">IFERROR(N(BX8)/BW8,"")</f>
        <v>0.348338048090523</v>
      </c>
    </row>
    <row r="9" customFormat="false" ht="15" hidden="false" customHeight="false" outlineLevel="0" collapsed="false">
      <c r="A9" s="6" t="s">
        <v>92</v>
      </c>
      <c r="B9" s="7" t="s">
        <v>93</v>
      </c>
      <c r="C9" s="8" t="n">
        <v>1894</v>
      </c>
      <c r="D9" s="8" t="n">
        <v>1867</v>
      </c>
      <c r="E9" s="8" t="n">
        <v>2406</v>
      </c>
      <c r="F9" s="8" t="n">
        <v>2182</v>
      </c>
      <c r="G9" s="8" t="n">
        <v>1880</v>
      </c>
      <c r="H9" s="8" t="n">
        <v>2621</v>
      </c>
      <c r="I9" s="8" t="n">
        <v>2360</v>
      </c>
      <c r="J9" s="8" t="n">
        <v>2504</v>
      </c>
      <c r="K9" s="8" t="n">
        <v>1889</v>
      </c>
      <c r="L9" s="8" t="n">
        <v>2550</v>
      </c>
      <c r="M9" s="8" t="n">
        <v>1875</v>
      </c>
      <c r="N9" s="8" t="n">
        <v>2556</v>
      </c>
      <c r="O9" s="8" t="n">
        <v>2316</v>
      </c>
      <c r="P9" s="8" t="n">
        <v>2213</v>
      </c>
      <c r="Q9" s="8" t="n">
        <v>2405</v>
      </c>
      <c r="R9" s="8" t="n">
        <v>2741</v>
      </c>
      <c r="S9" s="8" t="n">
        <v>2149</v>
      </c>
      <c r="T9" s="8" t="n">
        <v>2025</v>
      </c>
      <c r="U9" s="8" t="n">
        <v>2382</v>
      </c>
      <c r="V9" s="8" t="n">
        <v>2123</v>
      </c>
      <c r="W9" s="8" t="n">
        <v>2007</v>
      </c>
      <c r="X9" s="8" t="n">
        <v>2054</v>
      </c>
      <c r="Y9" s="8" t="n">
        <v>1954</v>
      </c>
      <c r="Z9" s="8" t="n">
        <v>2090</v>
      </c>
      <c r="AA9" s="8" t="n">
        <v>2293</v>
      </c>
      <c r="AB9" s="8" t="n">
        <v>2287</v>
      </c>
      <c r="AC9" s="8" t="n">
        <v>2714</v>
      </c>
      <c r="AD9" s="8" t="n">
        <v>2272</v>
      </c>
      <c r="AE9" s="8"/>
      <c r="AF9" s="8"/>
      <c r="AG9" s="8"/>
      <c r="AH9" s="8"/>
      <c r="AI9" s="8"/>
      <c r="AJ9" s="8"/>
      <c r="AK9" s="8"/>
      <c r="AL9" s="8"/>
      <c r="AM9" s="8" t="n">
        <v>2582</v>
      </c>
      <c r="AN9" s="8" t="n">
        <v>2265</v>
      </c>
      <c r="AO9" s="8" t="n">
        <v>2432</v>
      </c>
      <c r="AP9" s="8" t="n">
        <v>2108</v>
      </c>
      <c r="AQ9" s="8" t="n">
        <v>2337</v>
      </c>
      <c r="AR9" s="8" t="n">
        <v>2105</v>
      </c>
      <c r="AS9" s="8" t="n">
        <v>2812</v>
      </c>
      <c r="AT9" s="8" t="n">
        <v>2633</v>
      </c>
      <c r="AU9" s="8" t="n">
        <v>2277</v>
      </c>
      <c r="AV9" s="8" t="n">
        <v>2558</v>
      </c>
      <c r="AW9" s="8" t="n">
        <v>3010</v>
      </c>
      <c r="AX9" s="8" t="n">
        <v>2195</v>
      </c>
      <c r="AY9" s="8" t="n">
        <v>3041</v>
      </c>
      <c r="AZ9" s="8" t="n">
        <v>2641</v>
      </c>
      <c r="BA9" s="8" t="n">
        <v>2706</v>
      </c>
      <c r="BB9" s="8" t="n">
        <v>3057</v>
      </c>
      <c r="BC9" s="8" t="n">
        <v>2601</v>
      </c>
      <c r="BD9" s="8" t="n">
        <v>2718</v>
      </c>
      <c r="BE9" s="8" t="n">
        <v>2905</v>
      </c>
      <c r="BF9" s="8" t="n">
        <v>3210</v>
      </c>
      <c r="BG9" s="8" t="n">
        <v>2549</v>
      </c>
      <c r="BH9" s="8" t="n">
        <v>3055</v>
      </c>
      <c r="BI9" s="8" t="n">
        <v>2925</v>
      </c>
      <c r="BJ9" s="8" t="n">
        <v>2852</v>
      </c>
      <c r="BK9" s="8" t="n">
        <v>2737</v>
      </c>
      <c r="BL9" s="8" t="n">
        <v>2676</v>
      </c>
      <c r="BM9" s="8" t="n">
        <v>2358</v>
      </c>
      <c r="BN9" s="8" t="n">
        <v>2440</v>
      </c>
      <c r="BO9" s="8"/>
      <c r="BP9" s="8"/>
      <c r="BQ9" s="8"/>
      <c r="BR9" s="8"/>
      <c r="BS9" s="8"/>
      <c r="BT9" s="8"/>
      <c r="BU9" s="8"/>
      <c r="BV9" s="8"/>
      <c r="BW9" s="9" t="n">
        <v>32470</v>
      </c>
      <c r="BX9" s="10" t="n">
        <f aca="false">IF(SUM(BK9:BV9)=0,"",SUM(BK9:BV9))</f>
        <v>10211</v>
      </c>
      <c r="BY9" s="10" t="n">
        <f aca="false">IF(N(BW9)=0,"",BW9-N(BX9))</f>
        <v>22259</v>
      </c>
      <c r="BZ9" s="11" t="n">
        <f aca="false">IFERROR(N(BX9)/BW9,"")</f>
        <v>0.314474899907607</v>
      </c>
    </row>
    <row r="10" customFormat="false" ht="15" hidden="false" customHeight="false" outlineLevel="0" collapsed="false">
      <c r="A10" s="6"/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10" t="str">
        <f aca="false">IF(SUM(BK10:BV10)=0,"",SUM(BK10:BV10))</f>
        <v/>
      </c>
      <c r="BY10" s="10" t="str">
        <f aca="false">IF(N(BW10)=0,"",BW10-N(BX10))</f>
        <v/>
      </c>
      <c r="BZ10" s="11" t="str">
        <f aca="false">IFERROR(N(BX10)/BW10,"")</f>
        <v/>
      </c>
    </row>
    <row r="11" customFormat="false" ht="15" hidden="false" customHeight="false" outlineLevel="0" collapsed="false">
      <c r="A11" s="6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9"/>
      <c r="BX11" s="10" t="str">
        <f aca="false">IF(SUM(BK11:BV11)=0,"",SUM(BK11:BV11))</f>
        <v/>
      </c>
      <c r="BY11" s="10" t="str">
        <f aca="false">IF(N(BW11)=0,"",BW11-N(BX11))</f>
        <v/>
      </c>
      <c r="BZ11" s="11" t="str">
        <f aca="false">IFERROR(N(BX11)/BW11,"")</f>
        <v/>
      </c>
    </row>
    <row r="12" customFormat="false" ht="15" hidden="false" customHeight="false" outlineLevel="0" collapsed="false">
      <c r="A12" s="6"/>
      <c r="B12" s="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9"/>
      <c r="BX12" s="10" t="str">
        <f aca="false">IF(SUM(BK12:BV12)=0,"",SUM(BK12:BV12))</f>
        <v/>
      </c>
      <c r="BY12" s="10" t="str">
        <f aca="false">IF(N(BW12)=0,"",BW12-N(BX12))</f>
        <v/>
      </c>
      <c r="BZ12" s="11" t="str">
        <f aca="false">IFERROR(N(BX12)/BW12,"")</f>
        <v/>
      </c>
    </row>
    <row r="13" customFormat="false" ht="15" hidden="false" customHeight="false" outlineLevel="0" collapsed="false">
      <c r="A13" s="6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9"/>
      <c r="BX13" s="10" t="str">
        <f aca="false">IF(SUM(BK13:BV13)=0,"",SUM(BK13:BV13))</f>
        <v/>
      </c>
      <c r="BY13" s="10" t="str">
        <f aca="false">IF(N(BW13)=0,"",BW13-N(BX13))</f>
        <v/>
      </c>
      <c r="BZ13" s="11" t="str">
        <f aca="false">IFERROR(N(BX13)/BW13,"")</f>
        <v/>
      </c>
    </row>
    <row r="14" customFormat="false" ht="15" hidden="false" customHeight="false" outlineLevel="0" collapsed="false">
      <c r="A14" s="6"/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9"/>
      <c r="BX14" s="10" t="str">
        <f aca="false">IF(SUM(BK14:BV14)=0,"",SUM(BK14:BV14))</f>
        <v/>
      </c>
      <c r="BY14" s="10" t="str">
        <f aca="false">IF(N(BW14)=0,"",BW14-N(BX14))</f>
        <v/>
      </c>
      <c r="BZ14" s="11" t="str">
        <f aca="false">IFERROR(N(BX14)/BW14,"")</f>
        <v/>
      </c>
    </row>
    <row r="15" customFormat="false" ht="15" hidden="false" customHeight="false" outlineLevel="0" collapsed="false">
      <c r="A15" s="6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9"/>
      <c r="BX15" s="10" t="str">
        <f aca="false">IF(SUM(BK15:BV15)=0,"",SUM(BK15:BV15))</f>
        <v/>
      </c>
      <c r="BY15" s="10" t="str">
        <f aca="false">IF(N(BW15)=0,"",BW15-N(BX15))</f>
        <v/>
      </c>
      <c r="BZ15" s="11" t="str">
        <f aca="false">IFERROR(N(BX15)/BW15,"")</f>
        <v/>
      </c>
    </row>
    <row r="16" customFormat="false" ht="15" hidden="false" customHeight="false" outlineLevel="0" collapsed="false">
      <c r="A16" s="6"/>
      <c r="B16" s="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9"/>
      <c r="BX16" s="10" t="str">
        <f aca="false">IF(SUM(BK16:BV16)=0,"",SUM(BK16:BV16))</f>
        <v/>
      </c>
      <c r="BY16" s="10" t="str">
        <f aca="false">IF(N(BW16)=0,"",BW16-N(BX16))</f>
        <v/>
      </c>
      <c r="BZ16" s="11" t="str">
        <f aca="false">IFERROR(N(BX16)/BW16,"")</f>
        <v/>
      </c>
    </row>
    <row r="17" customFormat="false" ht="15" hidden="false" customHeight="false" outlineLevel="0" collapsed="false">
      <c r="A17" s="6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9"/>
      <c r="BX17" s="10" t="str">
        <f aca="false">IF(SUM(BK17:BV17)=0,"",SUM(BK17:BV17))</f>
        <v/>
      </c>
      <c r="BY17" s="10" t="str">
        <f aca="false">IF(N(BW17)=0,"",BW17-N(BX17))</f>
        <v/>
      </c>
      <c r="BZ17" s="11" t="str">
        <f aca="false">IFERROR(N(BX17)/BW17,"")</f>
        <v/>
      </c>
    </row>
    <row r="18" customFormat="false" ht="15" hidden="false" customHeight="false" outlineLevel="0" collapsed="false">
      <c r="A18" s="6"/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9"/>
      <c r="BX18" s="10" t="str">
        <f aca="false">IF(SUM(BK18:BV18)=0,"",SUM(BK18:BV18))</f>
        <v/>
      </c>
      <c r="BY18" s="10" t="str">
        <f aca="false">IF(N(BW18)=0,"",BW18-N(BX18))</f>
        <v/>
      </c>
      <c r="BZ18" s="11" t="str">
        <f aca="false">IFERROR(N(BX18)/BW18,"")</f>
        <v/>
      </c>
    </row>
    <row r="19" customFormat="false" ht="15" hidden="false" customHeight="false" outlineLevel="0" collapsed="false">
      <c r="A19" s="6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9"/>
      <c r="BX19" s="10" t="str">
        <f aca="false">IF(SUM(BK19:BV19)=0,"",SUM(BK19:BV19))</f>
        <v/>
      </c>
      <c r="BY19" s="10" t="str">
        <f aca="false">IF(N(BW19)=0,"",BW19-N(BX19))</f>
        <v/>
      </c>
      <c r="BZ19" s="11" t="str">
        <f aca="false">IFERROR(N(BX19)/BW19,"")</f>
        <v/>
      </c>
    </row>
    <row r="20" customFormat="false" ht="15" hidden="false" customHeight="false" outlineLevel="0" collapsed="false">
      <c r="A20" s="6"/>
      <c r="B20" s="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9"/>
      <c r="BX20" s="10" t="str">
        <f aca="false">IF(SUM(BK20:BV20)=0,"",SUM(BK20:BV20))</f>
        <v/>
      </c>
      <c r="BY20" s="10" t="str">
        <f aca="false">IF(N(BW20)=0,"",BW20-N(BX20))</f>
        <v/>
      </c>
      <c r="BZ20" s="11" t="str">
        <f aca="false">IFERROR(N(BX20)/BW20,"")</f>
        <v/>
      </c>
    </row>
    <row r="21" customFormat="false" ht="15" hidden="false" customHeight="false" outlineLevel="0" collapsed="false">
      <c r="A21" s="6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9"/>
      <c r="BX21" s="10" t="str">
        <f aca="false">IF(SUM(BK21:BV21)=0,"",SUM(BK21:BV21))</f>
        <v/>
      </c>
      <c r="BY21" s="10" t="str">
        <f aca="false">IF(N(BW21)=0,"",BW21-N(BX21))</f>
        <v/>
      </c>
      <c r="BZ21" s="11" t="str">
        <f aca="false">IFERROR(N(BX21)/BW21,"")</f>
        <v/>
      </c>
    </row>
    <row r="22" customFormat="false" ht="15" hidden="false" customHeight="false" outlineLevel="0" collapsed="false">
      <c r="A22" s="6"/>
      <c r="B22" s="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9"/>
      <c r="BX22" s="10" t="str">
        <f aca="false">IF(SUM(BK22:BV22)=0,"",SUM(BK22:BV22))</f>
        <v/>
      </c>
      <c r="BY22" s="10" t="str">
        <f aca="false">IF(N(BW22)=0,"",BW22-N(BX22))</f>
        <v/>
      </c>
      <c r="BZ22" s="11" t="str">
        <f aca="false">IFERROR(N(BX22)/BW22,"")</f>
        <v/>
      </c>
    </row>
    <row r="23" customFormat="false" ht="15" hidden="false" customHeight="false" outlineLevel="0" collapsed="false">
      <c r="A23" s="6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9"/>
      <c r="BX23" s="10" t="str">
        <f aca="false">IF(SUM(BK23:BV23)=0,"",SUM(BK23:BV23))</f>
        <v/>
      </c>
      <c r="BY23" s="10" t="str">
        <f aca="false">IF(N(BW23)=0,"",BW23-N(BX23))</f>
        <v/>
      </c>
      <c r="BZ23" s="11" t="str">
        <f aca="false">IFERROR(N(BX23)/BW23,"")</f>
        <v/>
      </c>
    </row>
    <row r="24" customFormat="false" ht="15" hidden="false" customHeight="false" outlineLevel="0" collapsed="false">
      <c r="A24" s="6"/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9"/>
      <c r="BX24" s="10" t="str">
        <f aca="false">IF(SUM(BK24:BV24)=0,"",SUM(BK24:BV24))</f>
        <v/>
      </c>
      <c r="BY24" s="10" t="str">
        <f aca="false">IF(N(BW24)=0,"",BW24-N(BX24))</f>
        <v/>
      </c>
      <c r="BZ24" s="11" t="str">
        <f aca="false">IFERROR(N(BX24)/BW24,"")</f>
        <v/>
      </c>
    </row>
    <row r="25" customFormat="false" ht="15" hidden="false" customHeight="false" outlineLevel="0" collapsed="false">
      <c r="A25" s="6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9"/>
      <c r="BX25" s="10" t="str">
        <f aca="false">IF(SUM(BK25:BV25)=0,"",SUM(BK25:BV25))</f>
        <v/>
      </c>
      <c r="BY25" s="10" t="str">
        <f aca="false">IF(N(BW25)=0,"",BW25-N(BX25))</f>
        <v/>
      </c>
      <c r="BZ25" s="11" t="str">
        <f aca="false">IFERROR(N(BX25)/BW25,"")</f>
        <v/>
      </c>
    </row>
    <row r="26" customFormat="false" ht="15" hidden="false" customHeight="false" outlineLevel="0" collapsed="false">
      <c r="A26" s="6"/>
      <c r="B26" s="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9"/>
      <c r="BX26" s="10" t="str">
        <f aca="false">IF(SUM(BK26:BV26)=0,"",SUM(BK26:BV26))</f>
        <v/>
      </c>
      <c r="BY26" s="10" t="str">
        <f aca="false">IF(N(BW26)=0,"",BW26-N(BX26))</f>
        <v/>
      </c>
      <c r="BZ26" s="11" t="str">
        <f aca="false">IFERROR(N(BX26)/BW26,"")</f>
        <v/>
      </c>
    </row>
    <row r="27" customFormat="false" ht="15" hidden="false" customHeight="false" outlineLevel="0" collapsed="false">
      <c r="A27" s="6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9"/>
      <c r="BX27" s="10" t="str">
        <f aca="false">IF(SUM(BK27:BV27)=0,"",SUM(BK27:BV27))</f>
        <v/>
      </c>
      <c r="BY27" s="10" t="str">
        <f aca="false">IF(N(BW27)=0,"",BW27-N(BX27))</f>
        <v/>
      </c>
      <c r="BZ27" s="11" t="str">
        <f aca="false">IFERROR(N(BX27)/BW27,"")</f>
        <v/>
      </c>
    </row>
    <row r="28" customFormat="false" ht="15" hidden="false" customHeight="false" outlineLevel="0" collapsed="false">
      <c r="A28" s="6"/>
      <c r="B28" s="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9"/>
      <c r="BX28" s="10" t="str">
        <f aca="false">IF(SUM(BK28:BV28)=0,"",SUM(BK28:BV28))</f>
        <v/>
      </c>
      <c r="BY28" s="10" t="str">
        <f aca="false">IF(N(BW28)=0,"",BW28-N(BX28))</f>
        <v/>
      </c>
      <c r="BZ28" s="11" t="str">
        <f aca="false">IFERROR(N(BX28)/BW28,"")</f>
        <v/>
      </c>
    </row>
    <row r="29" customFormat="false" ht="15" hidden="false" customHeight="false" outlineLevel="0" collapsed="false">
      <c r="A29" s="6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9"/>
      <c r="BX29" s="10" t="str">
        <f aca="false">IF(SUM(BK29:BV29)=0,"",SUM(BK29:BV29))</f>
        <v/>
      </c>
      <c r="BY29" s="10" t="str">
        <f aca="false">IF(N(BW29)=0,"",BW29-N(BX29))</f>
        <v/>
      </c>
      <c r="BZ29" s="11" t="str">
        <f aca="false">IFERROR(N(BX29)/BW29,"")</f>
        <v/>
      </c>
    </row>
    <row r="30" customFormat="false" ht="15" hidden="false" customHeight="false" outlineLevel="0" collapsed="false">
      <c r="A30" s="6"/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9"/>
      <c r="BX30" s="10" t="str">
        <f aca="false">IF(SUM(BK30:BV30)=0,"",SUM(BK30:BV30))</f>
        <v/>
      </c>
      <c r="BY30" s="10" t="str">
        <f aca="false">IF(N(BW30)=0,"",BW30-N(BX30))</f>
        <v/>
      </c>
      <c r="BZ30" s="11" t="str">
        <f aca="false">IFERROR(N(BX30)/BW30,"")</f>
        <v/>
      </c>
    </row>
    <row r="31" customFormat="false" ht="15" hidden="false" customHeight="false" outlineLevel="0" collapsed="false">
      <c r="A31" s="6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9"/>
      <c r="BX31" s="10" t="str">
        <f aca="false">IF(SUM(BK31:BV31)=0,"",SUM(BK31:BV31))</f>
        <v/>
      </c>
      <c r="BY31" s="10" t="str">
        <f aca="false">IF(N(BW31)=0,"",BW31-N(BX31))</f>
        <v/>
      </c>
      <c r="BZ31" s="11" t="str">
        <f aca="false">IFERROR(N(BX31)/BW31,"")</f>
        <v/>
      </c>
    </row>
    <row r="32" customFormat="false" ht="15" hidden="false" customHeight="false" outlineLevel="0" collapsed="false">
      <c r="A32" s="6"/>
      <c r="B32" s="7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9"/>
      <c r="BX32" s="10" t="str">
        <f aca="false">IF(SUM(BK32:BV32)=0,"",SUM(BK32:BV32))</f>
        <v/>
      </c>
      <c r="BY32" s="10" t="str">
        <f aca="false">IF(N(BW32)=0,"",BW32-N(BX32))</f>
        <v/>
      </c>
      <c r="BZ32" s="11" t="str">
        <f aca="false">IFERROR(N(BX32)/BW32,"")</f>
        <v/>
      </c>
    </row>
    <row r="33" customFormat="false" ht="15" hidden="false" customHeight="false" outlineLevel="0" collapsed="false">
      <c r="A33" s="6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9"/>
      <c r="BX33" s="10" t="str">
        <f aca="false">IF(SUM(BK33:BV33)=0,"",SUM(BK33:BV33))</f>
        <v/>
      </c>
      <c r="BY33" s="10" t="str">
        <f aca="false">IF(N(BW33)=0,"",BW33-N(BX33))</f>
        <v/>
      </c>
      <c r="BZ33" s="11" t="str">
        <f aca="false">IFERROR(N(BX33)/BW33,"")</f>
        <v/>
      </c>
    </row>
    <row r="34" customFormat="false" ht="15" hidden="false" customHeight="false" outlineLevel="0" collapsed="false">
      <c r="A34" s="6"/>
      <c r="B34" s="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9"/>
      <c r="BX34" s="10" t="str">
        <f aca="false">IF(SUM(BK34:BV34)=0,"",SUM(BK34:BV34))</f>
        <v/>
      </c>
      <c r="BY34" s="10" t="str">
        <f aca="false">IF(N(BW34)=0,"",BW34-N(BX34))</f>
        <v/>
      </c>
      <c r="BZ34" s="11" t="str">
        <f aca="false">IFERROR(N(BX34)/BW34,"")</f>
        <v/>
      </c>
    </row>
    <row r="35" customFormat="false" ht="15" hidden="false" customHeight="false" outlineLevel="0" collapsed="false">
      <c r="A35" s="6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9"/>
      <c r="BX35" s="10" t="str">
        <f aca="false">IF(SUM(BK35:BV35)=0,"",SUM(BK35:BV35))</f>
        <v/>
      </c>
      <c r="BY35" s="10" t="str">
        <f aca="false">IF(N(BW35)=0,"",BW35-N(BX35))</f>
        <v/>
      </c>
      <c r="BZ35" s="11" t="str">
        <f aca="false">IFERROR(N(BX35)/BW35,"")</f>
        <v/>
      </c>
    </row>
    <row r="36" customFormat="false" ht="15" hidden="false" customHeight="false" outlineLevel="0" collapsed="false">
      <c r="A36" s="6"/>
      <c r="B36" s="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9"/>
      <c r="BX36" s="10" t="str">
        <f aca="false">IF(SUM(BK36:BV36)=0,"",SUM(BK36:BV36))</f>
        <v/>
      </c>
      <c r="BY36" s="10" t="str">
        <f aca="false">IF(N(BW36)=0,"",BW36-N(BX36))</f>
        <v/>
      </c>
      <c r="BZ36" s="11" t="str">
        <f aca="false">IFERROR(N(BX36)/BW36,"")</f>
        <v/>
      </c>
    </row>
    <row r="37" customFormat="false" ht="15" hidden="false" customHeight="false" outlineLevel="0" collapsed="false">
      <c r="A37" s="6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9"/>
      <c r="BX37" s="10" t="str">
        <f aca="false">IF(SUM(BK37:BV37)=0,"",SUM(BK37:BV37))</f>
        <v/>
      </c>
      <c r="BY37" s="10" t="str">
        <f aca="false">IF(N(BW37)=0,"",BW37-N(BX37))</f>
        <v/>
      </c>
      <c r="BZ37" s="11" t="str">
        <f aca="false">IFERROR(N(BX37)/BW37,"")</f>
        <v/>
      </c>
    </row>
    <row r="38" customFormat="false" ht="15" hidden="false" customHeight="false" outlineLevel="0" collapsed="false">
      <c r="A38" s="6"/>
      <c r="B38" s="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9"/>
      <c r="BX38" s="10" t="str">
        <f aca="false">IF(SUM(BK38:BV38)=0,"",SUM(BK38:BV38))</f>
        <v/>
      </c>
      <c r="BY38" s="10" t="str">
        <f aca="false">IF(N(BW38)=0,"",BW38-N(BX38))</f>
        <v/>
      </c>
      <c r="BZ38" s="11" t="str">
        <f aca="false">IFERROR(N(BX38)/BW38,"")</f>
        <v/>
      </c>
    </row>
    <row r="39" customFormat="false" ht="15" hidden="false" customHeight="false" outlineLevel="0" collapsed="false">
      <c r="A39" s="6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9"/>
      <c r="BX39" s="10" t="str">
        <f aca="false">IF(SUM(BK39:BV39)=0,"",SUM(BK39:BV39))</f>
        <v/>
      </c>
      <c r="BY39" s="10" t="str">
        <f aca="false">IF(N(BW39)=0,"",BW39-N(BX39))</f>
        <v/>
      </c>
      <c r="BZ39" s="11" t="str">
        <f aca="false">IFERROR(N(BX39)/BW39,"")</f>
        <v/>
      </c>
    </row>
    <row r="40" customFormat="false" ht="15" hidden="false" customHeight="false" outlineLevel="0" collapsed="false">
      <c r="A40" s="6"/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9"/>
      <c r="BX40" s="10" t="str">
        <f aca="false">IF(SUM(BK40:BV40)=0,"",SUM(BK40:BV40))</f>
        <v/>
      </c>
      <c r="BY40" s="10" t="str">
        <f aca="false">IF(N(BW40)=0,"",BW40-N(BX40))</f>
        <v/>
      </c>
      <c r="BZ40" s="11" t="str">
        <f aca="false">IFERROR(N(BX40)/BW40,"")</f>
        <v/>
      </c>
    </row>
    <row r="41" customFormat="false" ht="15" hidden="false" customHeight="false" outlineLevel="0" collapsed="false">
      <c r="A41" s="6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9"/>
      <c r="BX41" s="10" t="str">
        <f aca="false">IF(SUM(BK41:BV41)=0,"",SUM(BK41:BV41))</f>
        <v/>
      </c>
      <c r="BY41" s="10" t="str">
        <f aca="false">IF(N(BW41)=0,"",BW41-N(BX41))</f>
        <v/>
      </c>
      <c r="BZ41" s="11" t="str">
        <f aca="false">IFERROR(N(BX41)/BW41,"")</f>
        <v/>
      </c>
    </row>
    <row r="42" customFormat="false" ht="15" hidden="false" customHeight="false" outlineLevel="0" collapsed="false">
      <c r="A42" s="6"/>
      <c r="B42" s="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9"/>
      <c r="BX42" s="10" t="str">
        <f aca="false">IF(SUM(BK42:BV42)=0,"",SUM(BK42:BV42))</f>
        <v/>
      </c>
      <c r="BY42" s="10" t="str">
        <f aca="false">IF(N(BW42)=0,"",BW42-N(BX42))</f>
        <v/>
      </c>
      <c r="BZ42" s="11" t="str">
        <f aca="false">IFERROR(N(BX42)/BW42,"")</f>
        <v/>
      </c>
    </row>
    <row r="43" customFormat="false" ht="15" hidden="false" customHeight="false" outlineLevel="0" collapsed="false">
      <c r="A43" s="6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9"/>
      <c r="BX43" s="10" t="str">
        <f aca="false">IF(SUM(BK43:BV43)=0,"",SUM(BK43:BV43))</f>
        <v/>
      </c>
      <c r="BY43" s="10" t="str">
        <f aca="false">IF(N(BW43)=0,"",BW43-N(BX43))</f>
        <v/>
      </c>
      <c r="BZ43" s="11" t="str">
        <f aca="false">IFERROR(N(BX43)/BW43,"")</f>
        <v/>
      </c>
    </row>
    <row r="44" customFormat="false" ht="15" hidden="false" customHeight="false" outlineLevel="0" collapsed="false">
      <c r="A44" s="6"/>
      <c r="B44" s="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9"/>
      <c r="BX44" s="10" t="str">
        <f aca="false">IF(SUM(BK44:BV44)=0,"",SUM(BK44:BV44))</f>
        <v/>
      </c>
      <c r="BY44" s="10" t="str">
        <f aca="false">IF(N(BW44)=0,"",BW44-N(BX44))</f>
        <v/>
      </c>
      <c r="BZ44" s="11" t="str">
        <f aca="false">IFERROR(N(BX44)/BW44,"")</f>
        <v/>
      </c>
    </row>
    <row r="45" customFormat="false" ht="15" hidden="false" customHeight="false" outlineLevel="0" collapsed="false">
      <c r="A45" s="6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9"/>
      <c r="BX45" s="10" t="str">
        <f aca="false">IF(SUM(BK45:BV45)=0,"",SUM(BK45:BV45))</f>
        <v/>
      </c>
      <c r="BY45" s="10" t="str">
        <f aca="false">IF(N(BW45)=0,"",BW45-N(BX45))</f>
        <v/>
      </c>
      <c r="BZ45" s="11" t="str">
        <f aca="false">IFERROR(N(BX45)/BW45,"")</f>
        <v/>
      </c>
    </row>
    <row r="46" customFormat="false" ht="15" hidden="false" customHeight="false" outlineLevel="0" collapsed="false">
      <c r="A46" s="6"/>
      <c r="B46" s="7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9"/>
      <c r="BX46" s="10" t="str">
        <f aca="false">IF(SUM(BK46:BV46)=0,"",SUM(BK46:BV46))</f>
        <v/>
      </c>
      <c r="BY46" s="10" t="str">
        <f aca="false">IF(N(BW46)=0,"",BW46-N(BX46))</f>
        <v/>
      </c>
      <c r="BZ46" s="11" t="str">
        <f aca="false">IFERROR(N(BX46)/BW46,"")</f>
        <v/>
      </c>
    </row>
    <row r="47" customFormat="false" ht="15" hidden="false" customHeight="false" outlineLevel="0" collapsed="false">
      <c r="A47" s="6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9"/>
      <c r="BX47" s="10" t="str">
        <f aca="false">IF(SUM(BK47:BV47)=0,"",SUM(BK47:BV47))</f>
        <v/>
      </c>
      <c r="BY47" s="10" t="str">
        <f aca="false">IF(N(BW47)=0,"",BW47-N(BX47))</f>
        <v/>
      </c>
      <c r="BZ47" s="11" t="str">
        <f aca="false">IFERROR(N(BX47)/BW47,"")</f>
        <v/>
      </c>
    </row>
    <row r="48" customFormat="false" ht="15" hidden="false" customHeight="false" outlineLevel="0" collapsed="false">
      <c r="A48" s="6"/>
      <c r="B48" s="7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9"/>
      <c r="BX48" s="10" t="str">
        <f aca="false">IF(SUM(BK48:BV48)=0,"",SUM(BK48:BV48))</f>
        <v/>
      </c>
      <c r="BY48" s="10" t="str">
        <f aca="false">IF(N(BW48)=0,"",BW48-N(BX48))</f>
        <v/>
      </c>
      <c r="BZ48" s="11" t="str">
        <f aca="false">IFERROR(N(BX48)/BW48,"")</f>
        <v/>
      </c>
    </row>
    <row r="49" customFormat="false" ht="15" hidden="false" customHeight="false" outlineLevel="0" collapsed="false">
      <c r="A49" s="6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9"/>
      <c r="BX49" s="10" t="str">
        <f aca="false">IF(SUM(BK49:BV49)=0,"",SUM(BK49:BV49))</f>
        <v/>
      </c>
      <c r="BY49" s="10" t="str">
        <f aca="false">IF(N(BW49)=0,"",BW49-N(BX49))</f>
        <v/>
      </c>
      <c r="BZ49" s="11" t="str">
        <f aca="false">IFERROR(N(BX49)/BW49,"")</f>
        <v/>
      </c>
    </row>
    <row r="50" customFormat="false" ht="15" hidden="false" customHeight="false" outlineLevel="0" collapsed="false">
      <c r="A50" s="6"/>
      <c r="B50" s="7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9"/>
      <c r="BX50" s="10" t="str">
        <f aca="false">IF(SUM(BK50:BV50)=0,"",SUM(BK50:BV50))</f>
        <v/>
      </c>
      <c r="BY50" s="10" t="str">
        <f aca="false">IF(N(BW50)=0,"",BW50-N(BX50))</f>
        <v/>
      </c>
      <c r="BZ50" s="11" t="str">
        <f aca="false">IFERROR(N(BX50)/BW50,"")</f>
        <v/>
      </c>
    </row>
    <row r="51" customFormat="false" ht="15" hidden="false" customHeight="false" outlineLevel="0" collapsed="false">
      <c r="A51" s="6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9"/>
      <c r="BX51" s="10" t="str">
        <f aca="false">IF(SUM(BK51:BV51)=0,"",SUM(BK51:BV51))</f>
        <v/>
      </c>
      <c r="BY51" s="10" t="str">
        <f aca="false">IF(N(BW51)=0,"",BW51-N(BX51))</f>
        <v/>
      </c>
      <c r="BZ51" s="11" t="str">
        <f aca="false">IFERROR(N(BX51)/BW51,"")</f>
        <v/>
      </c>
    </row>
    <row r="52" customFormat="false" ht="15" hidden="false" customHeight="false" outlineLevel="0" collapsed="false">
      <c r="A52" s="6"/>
      <c r="B52" s="7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9"/>
      <c r="BX52" s="10" t="str">
        <f aca="false">IF(SUM(BK52:BV52)=0,"",SUM(BK52:BV52))</f>
        <v/>
      </c>
      <c r="BY52" s="10" t="str">
        <f aca="false">IF(N(BW52)=0,"",BW52-N(BX52))</f>
        <v/>
      </c>
      <c r="BZ52" s="11" t="str">
        <f aca="false">IFERROR(N(BX52)/BW52,"")</f>
        <v/>
      </c>
    </row>
    <row r="53" customFormat="false" ht="15" hidden="false" customHeight="false" outlineLevel="0" collapsed="false">
      <c r="A53" s="6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9"/>
      <c r="BX53" s="10" t="str">
        <f aca="false">IF(SUM(BK53:BV53)=0,"",SUM(BK53:BV53))</f>
        <v/>
      </c>
      <c r="BY53" s="10" t="str">
        <f aca="false">IF(N(BW53)=0,"",BW53-N(BX53))</f>
        <v/>
      </c>
      <c r="BZ53" s="11" t="str">
        <f aca="false">IFERROR(N(BX53)/BW53,"")</f>
        <v/>
      </c>
    </row>
    <row r="54" customFormat="false" ht="15" hidden="false" customHeight="false" outlineLevel="0" collapsed="false">
      <c r="A54" s="6"/>
      <c r="B54" s="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9"/>
      <c r="BX54" s="10" t="str">
        <f aca="false">IF(SUM(BK54:BV54)=0,"",SUM(BK54:BV54))</f>
        <v/>
      </c>
      <c r="BY54" s="10" t="str">
        <f aca="false">IF(N(BW54)=0,"",BW54-N(BX54))</f>
        <v/>
      </c>
      <c r="BZ54" s="11" t="str">
        <f aca="false">IFERROR(N(BX54)/BW54,"")</f>
        <v/>
      </c>
    </row>
    <row r="55" customFormat="false" ht="15" hidden="false" customHeight="false" outlineLevel="0" collapsed="false">
      <c r="A55" s="6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9"/>
      <c r="BX55" s="10" t="str">
        <f aca="false">IF(SUM(BK55:BV55)=0,"",SUM(BK55:BV55))</f>
        <v/>
      </c>
      <c r="BY55" s="10" t="str">
        <f aca="false">IF(N(BW55)=0,"",BW55-N(BX55))</f>
        <v/>
      </c>
      <c r="BZ55" s="11" t="str">
        <f aca="false">IFERROR(N(BX55)/BW55,"")</f>
        <v/>
      </c>
    </row>
    <row r="56" customFormat="false" ht="15" hidden="false" customHeight="false" outlineLevel="0" collapsed="false">
      <c r="A56" s="6"/>
      <c r="B56" s="7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9"/>
      <c r="BX56" s="10" t="str">
        <f aca="false">IF(SUM(BK56:BV56)=0,"",SUM(BK56:BV56))</f>
        <v/>
      </c>
      <c r="BY56" s="10" t="str">
        <f aca="false">IF(N(BW56)=0,"",BW56-N(BX56))</f>
        <v/>
      </c>
      <c r="BZ56" s="11" t="str">
        <f aca="false">IFERROR(N(BX56)/BW56,"")</f>
        <v/>
      </c>
    </row>
    <row r="57" customFormat="false" ht="15" hidden="false" customHeight="false" outlineLevel="0" collapsed="false">
      <c r="A57" s="6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9"/>
      <c r="BX57" s="10" t="str">
        <f aca="false">IF(SUM(BK57:BV57)=0,"",SUM(BK57:BV57))</f>
        <v/>
      </c>
      <c r="BY57" s="10" t="str">
        <f aca="false">IF(N(BW57)=0,"",BW57-N(BX57))</f>
        <v/>
      </c>
      <c r="BZ57" s="11" t="str">
        <f aca="false">IFERROR(N(BX57)/BW57,"")</f>
        <v/>
      </c>
    </row>
    <row r="58" customFormat="false" ht="15" hidden="false" customHeight="false" outlineLevel="0" collapsed="false">
      <c r="A58" s="6"/>
      <c r="B58" s="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9"/>
      <c r="BX58" s="10" t="str">
        <f aca="false">IF(SUM(BK58:BV58)=0,"",SUM(BK58:BV58))</f>
        <v/>
      </c>
      <c r="BY58" s="10" t="str">
        <f aca="false">IF(N(BW58)=0,"",BW58-N(BX58))</f>
        <v/>
      </c>
      <c r="BZ58" s="11" t="str">
        <f aca="false">IFERROR(N(BX58)/BW58,"")</f>
        <v/>
      </c>
    </row>
    <row r="59" customFormat="false" ht="15" hidden="false" customHeight="false" outlineLevel="0" collapsed="false">
      <c r="A59" s="6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9"/>
      <c r="BX59" s="10" t="str">
        <f aca="false">IF(SUM(BK59:BV59)=0,"",SUM(BK59:BV59))</f>
        <v/>
      </c>
      <c r="BY59" s="10" t="str">
        <f aca="false">IF(N(BW59)=0,"",BW59-N(BX59))</f>
        <v/>
      </c>
      <c r="BZ59" s="11" t="str">
        <f aca="false">IFERROR(N(BX59)/BW59,"")</f>
        <v/>
      </c>
    </row>
    <row r="60" customFormat="false" ht="15" hidden="false" customHeight="false" outlineLevel="0" collapsed="false">
      <c r="A60" s="6"/>
      <c r="B60" s="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9"/>
      <c r="BX60" s="10" t="str">
        <f aca="false">IF(SUM(BK60:BV60)=0,"",SUM(BK60:BV60))</f>
        <v/>
      </c>
      <c r="BY60" s="10" t="str">
        <f aca="false">IF(N(BW60)=0,"",BW60-N(BX60))</f>
        <v/>
      </c>
      <c r="BZ60" s="11" t="str">
        <f aca="false">IFERROR(N(BX60)/BW60,"")</f>
        <v/>
      </c>
    </row>
    <row r="61" customFormat="false" ht="15" hidden="false" customHeight="false" outlineLevel="0" collapsed="false">
      <c r="A61" s="6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9"/>
      <c r="BX61" s="10" t="str">
        <f aca="false">IF(SUM(BK61:BV61)=0,"",SUM(BK61:BV61))</f>
        <v/>
      </c>
      <c r="BY61" s="10" t="str">
        <f aca="false">IF(N(BW61)=0,"",BW61-N(BX61))</f>
        <v/>
      </c>
      <c r="BZ61" s="11" t="str">
        <f aca="false">IFERROR(N(BX61)/BW61,"")</f>
        <v/>
      </c>
    </row>
    <row r="62" customFormat="false" ht="15" hidden="false" customHeight="false" outlineLevel="0" collapsed="false">
      <c r="A62" s="6"/>
      <c r="B62" s="7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9"/>
      <c r="BX62" s="10" t="str">
        <f aca="false">IF(SUM(BK62:BV62)=0,"",SUM(BK62:BV62))</f>
        <v/>
      </c>
      <c r="BY62" s="10" t="str">
        <f aca="false">IF(N(BW62)=0,"",BW62-N(BX62))</f>
        <v/>
      </c>
      <c r="BZ62" s="11" t="str">
        <f aca="false">IFERROR(N(BX62)/BW62,"")</f>
        <v/>
      </c>
    </row>
  </sheetData>
  <autoFilter ref="A2:BZ62"/>
  <mergeCells count="4">
    <mergeCell ref="A1:B1"/>
    <mergeCell ref="C1:AL1"/>
    <mergeCell ref="AM1:BV1"/>
    <mergeCell ref="BW1:BZ1"/>
  </mergeCells>
  <conditionalFormatting sqref="BZ3:BZ62">
    <cfRule type="cellIs" priority="2" operator="greaterThanOrEqual" aboveAverage="0" equalAverage="0" bottom="0" percent="0" rank="0" text="" dxfId="8">
      <formula>1</formula>
    </cfRule>
    <cfRule type="cellIs" priority="3" operator="between" aboveAverage="0" equalAverage="0" bottom="0" percent="0" rank="0" text="" dxfId="9">
      <formula>0.8</formula>
      <formula>0.9999</formula>
    </cfRule>
    <cfRule type="cellIs" priority="4" operator="lessThan" aboveAverage="0" equalAverage="0" bottom="0" percent="0" rank="0" text="" dxfId="10">
      <formula>0.8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2" t="s">
        <v>94</v>
      </c>
    </row>
    <row r="2" customFormat="false" ht="15" hidden="false" customHeight="false" outlineLevel="0" collapsed="false">
      <c r="A2" s="13"/>
    </row>
    <row r="3" customFormat="false" ht="23.85" hidden="false" customHeight="false" outlineLevel="0" collapsed="false">
      <c r="A3" s="13" t="s">
        <v>95</v>
      </c>
    </row>
    <row r="4" customFormat="false" ht="15" hidden="false" customHeight="false" outlineLevel="0" collapsed="false">
      <c r="A4" s="13" t="s">
        <v>96</v>
      </c>
    </row>
    <row r="5" customFormat="false" ht="15" hidden="false" customHeight="false" outlineLevel="0" collapsed="false">
      <c r="A5" s="14" t="s">
        <v>97</v>
      </c>
    </row>
    <row r="6" customFormat="false" ht="15" hidden="false" customHeight="false" outlineLevel="0" collapsed="false">
      <c r="A6" s="14" t="s">
        <v>98</v>
      </c>
    </row>
    <row r="7" customFormat="false" ht="15" hidden="false" customHeight="false" outlineLevel="0" collapsed="false">
      <c r="A7" s="14" t="s">
        <v>99</v>
      </c>
    </row>
    <row r="8" customFormat="false" ht="15" hidden="false" customHeight="false" outlineLevel="0" collapsed="false">
      <c r="A8" s="13" t="s">
        <v>100</v>
      </c>
    </row>
    <row r="9" customFormat="false" ht="15" hidden="false" customHeight="false" outlineLevel="0" collapsed="false">
      <c r="A9" s="13" t="s">
        <v>101</v>
      </c>
    </row>
    <row r="10" customFormat="false" ht="15" hidden="false" customHeight="false" outlineLevel="0" collapsed="false">
      <c r="A10" s="13" t="s">
        <v>102</v>
      </c>
    </row>
    <row r="11" customFormat="false" ht="15" hidden="false" customHeight="false" outlineLevel="0" collapsed="false">
      <c r="A11" s="13" t="s">
        <v>103</v>
      </c>
    </row>
    <row r="12" customFormat="false" ht="15" hidden="false" customHeight="false" outlineLevel="0" collapsed="false">
      <c r="A12" s="13"/>
    </row>
    <row r="13" customFormat="false" ht="15" hidden="false" customHeight="false" outlineLevel="0" collapsed="false">
      <c r="A13" s="15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2026-06-24T14:12:50Z</dcterms:created>
  <dc:creator>openpyxl</dc:creator>
  <dc:description/>
  <dc:language>en-US</dc:language>
  <cp:lastModifiedBy/>
  <dcterms:modified xsi:type="dcterms:W3CDTF">2026-06-24T14:12:51Z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